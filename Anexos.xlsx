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TESIS 2026\DatosTesis\Anexos\"/>
    </mc:Choice>
  </mc:AlternateContent>
  <xr:revisionPtr revIDLastSave="0" documentId="13_ncr:1_{1423295F-8996-4B65-9C5D-5F451FF4B5F8}" xr6:coauthVersionLast="47" xr6:coauthVersionMax="47" xr10:uidLastSave="{00000000-0000-0000-0000-000000000000}"/>
  <bookViews>
    <workbookView xWindow="-108" yWindow="-108" windowWidth="23256" windowHeight="12456" activeTab="2" xr2:uid="{3C7F7ABD-2637-4072-8D0A-6191A7841C53}"/>
  </bookViews>
  <sheets>
    <sheet name="Funcion Escala" sheetId="1" r:id="rId1"/>
    <sheet name="Resultados Grietas" sheetId="2" r:id="rId2"/>
    <sheet name="Resultados Ladrill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3" l="1"/>
  <c r="E4" i="2"/>
  <c r="E3" i="2"/>
  <c r="J16" i="3"/>
  <c r="H16" i="3"/>
  <c r="L16" i="3"/>
  <c r="N16" i="3"/>
  <c r="M16" i="3"/>
  <c r="E16" i="3"/>
  <c r="D16" i="3"/>
  <c r="C16" i="3"/>
</calcChain>
</file>

<file path=xl/sharedStrings.xml><?xml version="1.0" encoding="utf-8"?>
<sst xmlns="http://schemas.openxmlformats.org/spreadsheetml/2006/main" count="111" uniqueCount="79">
  <si>
    <t>D (m)</t>
  </si>
  <si>
    <t>Item</t>
  </si>
  <si>
    <t>v31</t>
  </si>
  <si>
    <t>v33</t>
  </si>
  <si>
    <t>v34</t>
  </si>
  <si>
    <t>v35</t>
  </si>
  <si>
    <t>v36</t>
  </si>
  <si>
    <t>v37</t>
  </si>
  <si>
    <t>v38</t>
  </si>
  <si>
    <t>v39</t>
  </si>
  <si>
    <t>v40</t>
  </si>
  <si>
    <t>v32</t>
  </si>
  <si>
    <t>v2</t>
  </si>
  <si>
    <t>v3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</si>
  <si>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</si>
  <si>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</si>
  <si>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</si>
  <si>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</si>
  <si>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</si>
  <si>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</si>
  <si>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</si>
  <si>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</si>
  <si>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</si>
  <si>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v19</t>
  </si>
  <si>
    <t>v20</t>
  </si>
  <si>
    <t>v21</t>
  </si>
  <si>
    <t>v22</t>
  </si>
  <si>
    <t>v23</t>
  </si>
  <si>
    <t>v24</t>
  </si>
  <si>
    <t>v25</t>
  </si>
  <si>
    <t>v28</t>
  </si>
  <si>
    <t>v30</t>
  </si>
  <si>
    <t>Ancho (mm)</t>
  </si>
  <si>
    <t xml:space="preserve">Plantilla </t>
  </si>
  <si>
    <t>Escala (mm/pixel)</t>
  </si>
  <si>
    <t>Distancia (m)</t>
  </si>
  <si>
    <t>Origen</t>
  </si>
  <si>
    <t>Manual</t>
  </si>
  <si>
    <t>Láser</t>
  </si>
  <si>
    <t>Imágenes provenientes de una Imagen más grande (2048 x 2048)  recortada  en parches de  512 x 512</t>
  </si>
  <si>
    <t>Escala (mm/pixel) 512 px</t>
  </si>
  <si>
    <t>Escala (mm/pixel) 2048 px</t>
  </si>
  <si>
    <t>Método : Medidor Láser</t>
  </si>
  <si>
    <t>p1</t>
  </si>
  <si>
    <t>N° muros</t>
  </si>
  <si>
    <t>c/ pandereta</t>
  </si>
  <si>
    <t>s/ pandereta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</si>
  <si>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</si>
  <si>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</si>
  <si>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</si>
  <si>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</si>
  <si>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</si>
  <si>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</si>
  <si>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</si>
  <si>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</si>
  <si>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</si>
  <si>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TOTAL</t>
  </si>
  <si>
    <t>Reales</t>
  </si>
  <si>
    <t>Resolución</t>
  </si>
  <si>
    <t>Imágenes con mayor resolución</t>
  </si>
  <si>
    <t>1024 x 1024</t>
  </si>
  <si>
    <t>8064 x  6048</t>
  </si>
  <si>
    <t>4500 x 8064</t>
  </si>
  <si>
    <t>7450 x 4000</t>
  </si>
  <si>
    <t>8064 x  4500</t>
  </si>
  <si>
    <t>8065 x  3500</t>
  </si>
  <si>
    <t>8064 x  4600</t>
  </si>
  <si>
    <t>6048 x 8064</t>
  </si>
  <si>
    <t>5200 x 8064</t>
  </si>
  <si>
    <t>Imágenes originales redimensionadas a        512 x 512</t>
  </si>
  <si>
    <t>Predicciones : Confianza del detector = 0.8, Filtro = 0.25 , Umbral de clasificador = 0.5</t>
  </si>
  <si>
    <t xml:space="preserve">Dataset de validación </t>
  </si>
  <si>
    <t>Cant.</t>
  </si>
  <si>
    <t xml:space="preserve">Cant. </t>
  </si>
  <si>
    <t>Fachadas</t>
  </si>
  <si>
    <t xml:space="preserve">Imagen </t>
  </si>
  <si>
    <t xml:space="preserve"> Imágenes ensayadas : 2048 x 2048 pixeles</t>
  </si>
  <si>
    <t>upper_green = np.array([90, 255, 255])</t>
  </si>
  <si>
    <t>lower_green=np.array([35, 80, 80])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</si>
</sst>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/>
    </xf>
    <xf numFmtId="9" fontId="0" fillId="0" borderId="0" xfId="0" applyNumberFormat="1"/>
    <xf numFmtId="0" fontId="1" fillId="0" borderId="0" xfId="0" applyFont="1" applyAlignment="1">
      <alignment horizontal="right"/>
    </xf>
    <xf numFmtId="0" fontId="4" fillId="0" borderId="6" xfId="0" applyFont="1" applyBorder="1" applyAlignment="1">
      <alignment horizontal="center"/>
    </xf>
    <xf numFmtId="0" fontId="6" fillId="0" borderId="7" xfId="0" applyFont="1" applyBorder="1" applyAlignment="1">
      <alignment horizontal="right"/>
    </xf>
    <xf numFmtId="165" fontId="6" fillId="0" borderId="7" xfId="0" applyNumberFormat="1" applyFont="1" applyBorder="1" applyAlignment="1">
      <alignment horizontal="right"/>
    </xf>
    <xf numFmtId="2" fontId="6" fillId="0" borderId="7" xfId="0" applyNumberFormat="1" applyFont="1" applyBorder="1" applyAlignment="1">
      <alignment horizontal="right"/>
    </xf>
    <xf numFmtId="0" fontId="6" fillId="0" borderId="7" xfId="0" applyFont="1" applyBorder="1"/>
    <xf numFmtId="0" fontId="6" fillId="0" borderId="4" xfId="0" applyFont="1" applyBorder="1"/>
    <xf numFmtId="0" fontId="6" fillId="0" borderId="8" xfId="0" applyFont="1" applyBorder="1" applyAlignment="1">
      <alignment horizontal="right"/>
    </xf>
    <xf numFmtId="165" fontId="6" fillId="0" borderId="8" xfId="0" applyNumberFormat="1" applyFont="1" applyBorder="1" applyAlignment="1">
      <alignment horizontal="right"/>
    </xf>
    <xf numFmtId="2" fontId="6" fillId="0" borderId="8" xfId="0" applyNumberFormat="1" applyFont="1" applyBorder="1" applyAlignment="1">
      <alignment horizontal="right"/>
    </xf>
    <xf numFmtId="2" fontId="6" fillId="0" borderId="8" xfId="0" applyNumberFormat="1" applyFont="1" applyBorder="1"/>
    <xf numFmtId="0" fontId="6" fillId="0" borderId="8" xfId="0" applyFont="1" applyBorder="1"/>
    <xf numFmtId="2" fontId="6" fillId="0" borderId="4" xfId="0" applyNumberFormat="1" applyFont="1" applyBorder="1"/>
    <xf numFmtId="0" fontId="6" fillId="0" borderId="9" xfId="0" applyFont="1" applyBorder="1" applyAlignment="1">
      <alignment horizontal="right"/>
    </xf>
    <xf numFmtId="165" fontId="6" fillId="0" borderId="9" xfId="0" applyNumberFormat="1" applyFont="1" applyBorder="1" applyAlignment="1">
      <alignment horizontal="right"/>
    </xf>
    <xf numFmtId="2" fontId="6" fillId="0" borderId="9" xfId="0" applyNumberFormat="1" applyFont="1" applyBorder="1" applyAlignment="1">
      <alignment horizontal="right"/>
    </xf>
    <xf numFmtId="0" fontId="6" fillId="0" borderId="9" xfId="0" applyFont="1" applyBorder="1"/>
    <xf numFmtId="0" fontId="6" fillId="0" borderId="5" xfId="0" applyFont="1" applyBorder="1"/>
    <xf numFmtId="165" fontId="6" fillId="0" borderId="7" xfId="0" applyNumberFormat="1" applyFont="1" applyBorder="1"/>
    <xf numFmtId="0" fontId="6" fillId="0" borderId="3" xfId="0" applyFont="1" applyBorder="1"/>
    <xf numFmtId="165" fontId="6" fillId="0" borderId="8" xfId="0" applyNumberFormat="1" applyFont="1" applyBorder="1"/>
    <xf numFmtId="165" fontId="6" fillId="0" borderId="9" xfId="0" applyNumberFormat="1" applyFont="1" applyBorder="1"/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6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6" xfId="0" applyFont="1" applyBorder="1"/>
    <xf numFmtId="0" fontId="9" fillId="0" borderId="6" xfId="0" applyFont="1" applyBorder="1" applyAlignment="1">
      <alignment horizontal="center"/>
    </xf>
    <xf numFmtId="0" fontId="7" fillId="0" borderId="6" xfId="0" applyFont="1" applyBorder="1"/>
    <xf numFmtId="0" fontId="1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Valores experimentales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221261881986588"/>
                  <c:y val="5.51724137931034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'Funcion Escala'!$B$4:$B$36</c:f>
              <c:numCache>
                <c:formatCode>General</c:formatCode>
                <c:ptCount val="33"/>
                <c:pt idx="0">
                  <c:v>0.187</c:v>
                </c:pt>
                <c:pt idx="1">
                  <c:v>0.22800000000000001</c:v>
                </c:pt>
                <c:pt idx="2" formatCode="0.000">
                  <c:v>0.23</c:v>
                </c:pt>
                <c:pt idx="3">
                  <c:v>0.26400000000000001</c:v>
                </c:pt>
                <c:pt idx="4">
                  <c:v>0.312</c:v>
                </c:pt>
                <c:pt idx="5">
                  <c:v>0.33800000000000002</c:v>
                </c:pt>
                <c:pt idx="6">
                  <c:v>0.371</c:v>
                </c:pt>
                <c:pt idx="7" formatCode="0.000">
                  <c:v>0.39</c:v>
                </c:pt>
                <c:pt idx="8">
                  <c:v>0.40600000000000003</c:v>
                </c:pt>
                <c:pt idx="9">
                  <c:v>0.43099999999999999</c:v>
                </c:pt>
                <c:pt idx="10">
                  <c:v>0.47599999999999998</c:v>
                </c:pt>
                <c:pt idx="11">
                  <c:v>0.5</c:v>
                </c:pt>
                <c:pt idx="12">
                  <c:v>0.52400000000000002</c:v>
                </c:pt>
                <c:pt idx="13">
                  <c:v>0.54500000000000004</c:v>
                </c:pt>
                <c:pt idx="14">
                  <c:v>0.59199999999999997</c:v>
                </c:pt>
                <c:pt idx="15">
                  <c:v>0.624</c:v>
                </c:pt>
                <c:pt idx="16">
                  <c:v>0.64400000000000002</c:v>
                </c:pt>
                <c:pt idx="17">
                  <c:v>0.65100000000000002</c:v>
                </c:pt>
                <c:pt idx="18">
                  <c:v>0.67100000000000004</c:v>
                </c:pt>
                <c:pt idx="19">
                  <c:v>0.68400000000000005</c:v>
                </c:pt>
                <c:pt idx="20">
                  <c:v>0.71599999999999997</c:v>
                </c:pt>
                <c:pt idx="21">
                  <c:v>0.72699999999999998</c:v>
                </c:pt>
                <c:pt idx="22">
                  <c:v>0.73199999999999998</c:v>
                </c:pt>
                <c:pt idx="23">
                  <c:v>0.74399999999999999</c:v>
                </c:pt>
                <c:pt idx="24">
                  <c:v>0.77300000000000002</c:v>
                </c:pt>
                <c:pt idx="25">
                  <c:v>0.79600000000000004</c:v>
                </c:pt>
                <c:pt idx="26">
                  <c:v>0.79900000000000004</c:v>
                </c:pt>
                <c:pt idx="27">
                  <c:v>0.81699999999999995</c:v>
                </c:pt>
                <c:pt idx="28">
                  <c:v>0.83</c:v>
                </c:pt>
                <c:pt idx="29">
                  <c:v>0.84799999999999998</c:v>
                </c:pt>
                <c:pt idx="30">
                  <c:v>0.89100000000000001</c:v>
                </c:pt>
                <c:pt idx="31">
                  <c:v>0.97699999999999998</c:v>
                </c:pt>
                <c:pt idx="32">
                  <c:v>1.022</c:v>
                </c:pt>
              </c:numCache>
            </c:numRef>
          </c:xVal>
          <c:yVal>
            <c:numRef>
              <c:f>'Funcion Escala'!$C$4:$C$36</c:f>
              <c:numCache>
                <c:formatCode>General</c:formatCode>
                <c:ptCount val="33"/>
                <c:pt idx="0">
                  <c:v>7.7369999999999994E-2</c:v>
                </c:pt>
                <c:pt idx="1">
                  <c:v>9.5920000000000005E-2</c:v>
                </c:pt>
                <c:pt idx="2">
                  <c:v>9.7089999999999996E-2</c:v>
                </c:pt>
                <c:pt idx="3">
                  <c:v>0.11429</c:v>
                </c:pt>
                <c:pt idx="4">
                  <c:v>0.13200999999999999</c:v>
                </c:pt>
                <c:pt idx="5">
                  <c:v>0.14981</c:v>
                </c:pt>
                <c:pt idx="6">
                  <c:v>0.15873000000000001</c:v>
                </c:pt>
                <c:pt idx="7">
                  <c:v>0.16667000000000001</c:v>
                </c:pt>
                <c:pt idx="8">
                  <c:v>0.17391000000000001</c:v>
                </c:pt>
                <c:pt idx="9">
                  <c:v>0.19048000000000001</c:v>
                </c:pt>
                <c:pt idx="10">
                  <c:v>0.21390000000000001</c:v>
                </c:pt>
                <c:pt idx="11">
                  <c:v>0.21858</c:v>
                </c:pt>
                <c:pt idx="12">
                  <c:v>0.23952000000000001</c:v>
                </c:pt>
                <c:pt idx="13">
                  <c:v>0.24690999999999999</c:v>
                </c:pt>
                <c:pt idx="14">
                  <c:v>0.25974000000000003</c:v>
                </c:pt>
                <c:pt idx="15">
                  <c:v>0.27396999999999999</c:v>
                </c:pt>
                <c:pt idx="16">
                  <c:v>0.28777000000000003</c:v>
                </c:pt>
                <c:pt idx="17">
                  <c:v>0.29411999999999999</c:v>
                </c:pt>
                <c:pt idx="18">
                  <c:v>0.29851</c:v>
                </c:pt>
                <c:pt idx="19">
                  <c:v>0.30769000000000002</c:v>
                </c:pt>
                <c:pt idx="20">
                  <c:v>0.32257999999999998</c:v>
                </c:pt>
                <c:pt idx="21">
                  <c:v>0.32519999999999999</c:v>
                </c:pt>
                <c:pt idx="22">
                  <c:v>0.33057999999999998</c:v>
                </c:pt>
                <c:pt idx="23">
                  <c:v>0.33333000000000002</c:v>
                </c:pt>
                <c:pt idx="24">
                  <c:v>0.35088000000000003</c:v>
                </c:pt>
                <c:pt idx="25">
                  <c:v>0.35714000000000001</c:v>
                </c:pt>
                <c:pt idx="26">
                  <c:v>0.36036000000000001</c:v>
                </c:pt>
                <c:pt idx="27">
                  <c:v>0.37735999999999997</c:v>
                </c:pt>
                <c:pt idx="28">
                  <c:v>0.38095000000000001</c:v>
                </c:pt>
                <c:pt idx="29">
                  <c:v>0.39216000000000001</c:v>
                </c:pt>
                <c:pt idx="30">
                  <c:v>0.40816000000000002</c:v>
                </c:pt>
                <c:pt idx="31">
                  <c:v>0.44944000000000001</c:v>
                </c:pt>
                <c:pt idx="32">
                  <c:v>0.47059000000000001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D9-443F-9042-9CA188881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797087"/>
        <c:axId val="1471114495"/>
      </c:scatterChart>
      <c:valAx>
        <c:axId val="147779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71114495"/>
        <c:crosses val="autoZero"/>
        <c:crossBetween val="midCat"/>
      </c:valAx>
      <c:valAx>
        <c:axId val="147111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Escala (mm/pixel)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77797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619815</xdr:colOff>
      <xdr:row>2</xdr:row>
      <xdr:rowOff>200731</xdr:rowOff>
    </xdr:from>
    <xdr:to>
      <xdr:col>11</xdr:col>
      <xdr:colOff>580210</xdr:colOff>
      <xdr:row>22</xdr:row>
      <xdr:rowOff>16888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0FE6456-09E7-1E4D-EC9E-948364366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BA43-5E3A-43B5-B53C-60FF1BCEB4CC}">
  <dimension ref="A1:E36"/>
  <sheetViews>
    <sheetView zoomScale="115" workbookViewId="0">
      <selection activeCell="B29" sqref="B29"/>
    </sheetView>
  </sheetViews>
  <sheetFormatPr baseColWidth="10" defaultRowHeight="14.4" x14ac:dyDescent="0.3"/>
  <cols>
    <col min="2" max="3" width="17.109375" style="5" customWidth="1"/>
  </cols>
  <sheetData>
    <row r="1" spans="1:5" x14ac:dyDescent="0.3">
      <c r="E1" t="s">
        <v>78</v>
      </c>
    </row>
    <row r="2" spans="1:5" ht="16.2" customHeight="1" x14ac:dyDescent="0.3">
      <c r="A2" s="46" t="s">
        <v>76</v>
      </c>
      <c r="B2" s="46"/>
      <c r="C2" s="46"/>
      <c r="E2" t="s">
        <v>77</v>
      </c>
    </row>
    <row r="3" spans="1:5" s="6" customFormat="1" ht="20.399999999999999" customHeight="1" x14ac:dyDescent="0.3">
      <c r="A3" s="34" t="s">
        <v>75</v>
      </c>
      <c r="B3" s="35" t="s">
        <v>35</v>
      </c>
      <c r="C3" s="35" t="s">
        <v>34</v>
      </c>
    </row>
    <row r="4" spans="1:5" x14ac:dyDescent="0.3">
      <c r="A4" s="32">
        <v>1</v>
      </c>
      <c r="B4" s="33">
        <v>0.187</v>
      </c>
      <c r="C4" s="33">
        <v>7.7369999999999994E-2</v>
      </c>
    </row>
    <row r="5" spans="1:5" x14ac:dyDescent="0.3">
      <c r="A5" s="32">
        <v>2</v>
      </c>
      <c r="B5" s="33">
        <v>0.22800000000000001</v>
      </c>
      <c r="C5" s="33">
        <v>9.5920000000000005E-2</v>
      </c>
    </row>
    <row r="6" spans="1:5" x14ac:dyDescent="0.3">
      <c r="A6" s="32">
        <v>9</v>
      </c>
      <c r="B6" s="36">
        <v>0.23</v>
      </c>
      <c r="C6" s="33">
        <v>9.7089999999999996E-2</v>
      </c>
    </row>
    <row r="7" spans="1:5" x14ac:dyDescent="0.3">
      <c r="A7" s="32">
        <v>10</v>
      </c>
      <c r="B7" s="33">
        <v>0.26400000000000001</v>
      </c>
      <c r="C7" s="33">
        <v>0.11429</v>
      </c>
    </row>
    <row r="8" spans="1:5" x14ac:dyDescent="0.3">
      <c r="A8" s="32">
        <v>27</v>
      </c>
      <c r="B8" s="33">
        <v>0.312</v>
      </c>
      <c r="C8" s="33">
        <v>0.13200999999999999</v>
      </c>
    </row>
    <row r="9" spans="1:5" x14ac:dyDescent="0.3">
      <c r="A9" s="32">
        <v>24</v>
      </c>
      <c r="B9" s="33">
        <v>0.33800000000000002</v>
      </c>
      <c r="C9" s="33">
        <v>0.14981</v>
      </c>
    </row>
    <row r="10" spans="1:5" x14ac:dyDescent="0.3">
      <c r="A10" s="32">
        <v>3</v>
      </c>
      <c r="B10" s="33">
        <v>0.371</v>
      </c>
      <c r="C10" s="33">
        <v>0.15873000000000001</v>
      </c>
    </row>
    <row r="11" spans="1:5" x14ac:dyDescent="0.3">
      <c r="A11" s="32">
        <v>12</v>
      </c>
      <c r="B11" s="36">
        <v>0.39</v>
      </c>
      <c r="C11" s="33">
        <v>0.16667000000000001</v>
      </c>
    </row>
    <row r="12" spans="1:5" x14ac:dyDescent="0.3">
      <c r="A12" s="32">
        <v>17</v>
      </c>
      <c r="B12" s="33">
        <v>0.40600000000000003</v>
      </c>
      <c r="C12" s="33">
        <v>0.17391000000000001</v>
      </c>
    </row>
    <row r="13" spans="1:5" x14ac:dyDescent="0.3">
      <c r="A13" s="32">
        <v>28</v>
      </c>
      <c r="B13" s="33">
        <v>0.43099999999999999</v>
      </c>
      <c r="C13" s="33">
        <v>0.19048000000000001</v>
      </c>
    </row>
    <row r="14" spans="1:5" x14ac:dyDescent="0.3">
      <c r="A14" s="32">
        <v>4</v>
      </c>
      <c r="B14" s="33">
        <v>0.47599999999999998</v>
      </c>
      <c r="C14" s="33">
        <v>0.21390000000000001</v>
      </c>
    </row>
    <row r="15" spans="1:5" x14ac:dyDescent="0.3">
      <c r="A15" s="32">
        <v>14</v>
      </c>
      <c r="B15" s="33">
        <v>0.5</v>
      </c>
      <c r="C15" s="33">
        <v>0.21858</v>
      </c>
    </row>
    <row r="16" spans="1:5" x14ac:dyDescent="0.3">
      <c r="A16" s="32">
        <v>13</v>
      </c>
      <c r="B16" s="33">
        <v>0.52400000000000002</v>
      </c>
      <c r="C16" s="33">
        <v>0.23952000000000001</v>
      </c>
    </row>
    <row r="17" spans="1:3" x14ac:dyDescent="0.3">
      <c r="A17" s="32">
        <v>5</v>
      </c>
      <c r="B17" s="33">
        <v>0.54500000000000004</v>
      </c>
      <c r="C17" s="33">
        <v>0.24690999999999999</v>
      </c>
    </row>
    <row r="18" spans="1:3" x14ac:dyDescent="0.3">
      <c r="A18" s="32">
        <v>20</v>
      </c>
      <c r="B18" s="33">
        <v>0.59199999999999997</v>
      </c>
      <c r="C18" s="33">
        <v>0.25974000000000003</v>
      </c>
    </row>
    <row r="19" spans="1:3" x14ac:dyDescent="0.3">
      <c r="A19" s="32">
        <v>29</v>
      </c>
      <c r="B19" s="33">
        <v>0.624</v>
      </c>
      <c r="C19" s="33">
        <v>0.27396999999999999</v>
      </c>
    </row>
    <row r="20" spans="1:3" x14ac:dyDescent="0.3">
      <c r="A20" s="32">
        <v>21</v>
      </c>
      <c r="B20" s="33">
        <v>0.64400000000000002</v>
      </c>
      <c r="C20" s="33">
        <v>0.28777000000000003</v>
      </c>
    </row>
    <row r="21" spans="1:3" x14ac:dyDescent="0.3">
      <c r="A21" s="32">
        <v>19</v>
      </c>
      <c r="B21" s="33">
        <v>0.65100000000000002</v>
      </c>
      <c r="C21" s="33">
        <v>0.29411999999999999</v>
      </c>
    </row>
    <row r="22" spans="1:3" x14ac:dyDescent="0.3">
      <c r="A22" s="32">
        <v>25</v>
      </c>
      <c r="B22" s="33">
        <v>0.67100000000000004</v>
      </c>
      <c r="C22" s="33">
        <v>0.29851</v>
      </c>
    </row>
    <row r="23" spans="1:3" x14ac:dyDescent="0.3">
      <c r="A23" s="32">
        <v>6</v>
      </c>
      <c r="B23" s="33">
        <v>0.68400000000000005</v>
      </c>
      <c r="C23" s="33">
        <v>0.30769000000000002</v>
      </c>
    </row>
    <row r="24" spans="1:3" x14ac:dyDescent="0.3">
      <c r="A24" s="32">
        <v>18</v>
      </c>
      <c r="B24" s="33">
        <v>0.71599999999999997</v>
      </c>
      <c r="C24" s="33">
        <v>0.32257999999999998</v>
      </c>
    </row>
    <row r="25" spans="1:3" x14ac:dyDescent="0.3">
      <c r="A25" s="32">
        <v>30</v>
      </c>
      <c r="B25" s="33">
        <v>0.72699999999999998</v>
      </c>
      <c r="C25" s="33">
        <v>0.32519999999999999</v>
      </c>
    </row>
    <row r="26" spans="1:3" x14ac:dyDescent="0.3">
      <c r="A26" s="32">
        <v>15</v>
      </c>
      <c r="B26" s="33">
        <v>0.73199999999999998</v>
      </c>
      <c r="C26" s="33">
        <v>0.33057999999999998</v>
      </c>
    </row>
    <row r="27" spans="1:3" x14ac:dyDescent="0.3">
      <c r="A27" s="32">
        <v>26</v>
      </c>
      <c r="B27" s="33">
        <v>0.74399999999999999</v>
      </c>
      <c r="C27" s="33">
        <v>0.33333000000000002</v>
      </c>
    </row>
    <row r="28" spans="1:3" x14ac:dyDescent="0.3">
      <c r="A28" s="32">
        <v>11</v>
      </c>
      <c r="B28" s="33">
        <v>0.77300000000000002</v>
      </c>
      <c r="C28" s="33">
        <v>0.35088000000000003</v>
      </c>
    </row>
    <row r="29" spans="1:3" x14ac:dyDescent="0.3">
      <c r="A29" s="32">
        <v>33</v>
      </c>
      <c r="B29" s="33">
        <v>0.79600000000000004</v>
      </c>
      <c r="C29" s="33">
        <v>0.35714000000000001</v>
      </c>
    </row>
    <row r="30" spans="1:3" x14ac:dyDescent="0.3">
      <c r="A30" s="32">
        <v>31</v>
      </c>
      <c r="B30" s="33">
        <v>0.79900000000000004</v>
      </c>
      <c r="C30" s="33">
        <v>0.36036000000000001</v>
      </c>
    </row>
    <row r="31" spans="1:3" x14ac:dyDescent="0.3">
      <c r="A31" s="32">
        <v>7</v>
      </c>
      <c r="B31" s="33">
        <v>0.81699999999999995</v>
      </c>
      <c r="C31" s="33">
        <v>0.37735999999999997</v>
      </c>
    </row>
    <row r="32" spans="1:3" x14ac:dyDescent="0.3">
      <c r="A32" s="32">
        <v>32</v>
      </c>
      <c r="B32" s="33">
        <v>0.83</v>
      </c>
      <c r="C32" s="33">
        <v>0.38095000000000001</v>
      </c>
    </row>
    <row r="33" spans="1:3" x14ac:dyDescent="0.3">
      <c r="A33" s="32">
        <v>22</v>
      </c>
      <c r="B33" s="33">
        <v>0.84799999999999998</v>
      </c>
      <c r="C33" s="33">
        <v>0.39216000000000001</v>
      </c>
    </row>
    <row r="34" spans="1:3" x14ac:dyDescent="0.3">
      <c r="A34" s="32">
        <v>16</v>
      </c>
      <c r="B34" s="33">
        <v>0.89100000000000001</v>
      </c>
      <c r="C34" s="33">
        <v>0.40816000000000002</v>
      </c>
    </row>
    <row r="35" spans="1:3" x14ac:dyDescent="0.3">
      <c r="A35" s="32">
        <v>8</v>
      </c>
      <c r="B35" s="33">
        <v>0.97699999999999998</v>
      </c>
      <c r="C35" s="33">
        <v>0.44944000000000001</v>
      </c>
    </row>
    <row r="36" spans="1:3" x14ac:dyDescent="0.3">
      <c r="A36" s="32">
        <v>23</v>
      </c>
      <c r="B36" s="33">
        <v>1.022</v>
      </c>
      <c r="C36" s="33">
        <v>0.47059000000000001</v>
      </c>
    </row>
  </sheetData>
  <mergeCells count="1">
    <mergeCell ref="A2:C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9633-A1EA-462D-8DE5-3C96EC1C8666}">
  <dimension ref="B2:J38"/>
  <sheetViews>
    <sheetView showGridLines="0" topLeftCell="B1" zoomScale="83" zoomScaleNormal="113" workbookViewId="0">
      <selection activeCell="E4" sqref="E4"/>
    </sheetView>
  </sheetViews>
  <sheetFormatPr baseColWidth="10" defaultRowHeight="14.4" x14ac:dyDescent="0.3"/>
  <cols>
    <col min="1" max="1" width="3.44140625" customWidth="1"/>
    <col min="2" max="2" width="14.109375" customWidth="1"/>
    <col min="3" max="3" width="20.33203125" style="5" customWidth="1"/>
    <col min="4" max="4" width="11.109375" style="2" customWidth="1"/>
    <col min="5" max="5" width="12.5546875" customWidth="1"/>
    <col min="6" max="6" width="13" style="2" customWidth="1"/>
    <col min="7" max="8" width="13" customWidth="1"/>
  </cols>
  <sheetData>
    <row r="2" spans="2:10" x14ac:dyDescent="0.3">
      <c r="C2" s="48" t="s">
        <v>0</v>
      </c>
      <c r="D2" s="48"/>
      <c r="E2" s="5">
        <v>0.46100000000000002</v>
      </c>
    </row>
    <row r="3" spans="2:10" x14ac:dyDescent="0.3">
      <c r="B3" s="49" t="s">
        <v>42</v>
      </c>
      <c r="C3" s="48" t="s">
        <v>40</v>
      </c>
      <c r="D3" s="48"/>
      <c r="E3" s="7">
        <f xml:space="preserve"> (2048/512)*(0.47102*E2 - 0.013403)</f>
        <v>0.81494887999999999</v>
      </c>
    </row>
    <row r="4" spans="2:10" x14ac:dyDescent="0.3">
      <c r="B4" s="49"/>
      <c r="C4" s="48" t="s">
        <v>41</v>
      </c>
      <c r="D4" s="48"/>
      <c r="E4" s="7">
        <f xml:space="preserve"> 0.47102*E2 - 0.013403</f>
        <v>0.20373722</v>
      </c>
      <c r="F4" s="4"/>
    </row>
    <row r="6" spans="2:10" ht="19.2" customHeight="1" x14ac:dyDescent="0.3">
      <c r="C6" s="47" t="s">
        <v>36</v>
      </c>
      <c r="D6" s="47" t="s">
        <v>1</v>
      </c>
      <c r="E6" s="47" t="s">
        <v>0</v>
      </c>
      <c r="F6" s="31" t="s">
        <v>37</v>
      </c>
      <c r="G6" s="31" t="s">
        <v>33</v>
      </c>
      <c r="H6" s="31" t="s">
        <v>38</v>
      </c>
    </row>
    <row r="7" spans="2:10" ht="15.6" x14ac:dyDescent="0.3">
      <c r="C7" s="47"/>
      <c r="D7" s="47"/>
      <c r="E7" s="47"/>
      <c r="F7" s="10" t="s">
        <v>32</v>
      </c>
      <c r="G7" s="10" t="s">
        <v>32</v>
      </c>
      <c r="H7" s="10" t="s">
        <v>32</v>
      </c>
    </row>
    <row r="8" spans="2:10" ht="15.6" x14ac:dyDescent="0.3">
      <c r="C8" s="50" t="s">
        <v>69</v>
      </c>
      <c r="D8" s="11" t="s">
        <v>2</v>
      </c>
      <c r="E8" s="12">
        <v>0.16800000000000001</v>
      </c>
      <c r="F8" s="13">
        <v>1.5</v>
      </c>
      <c r="G8" s="14">
        <v>1.56</v>
      </c>
      <c r="H8" s="15">
        <v>1.47</v>
      </c>
    </row>
    <row r="9" spans="2:10" ht="15.6" x14ac:dyDescent="0.3">
      <c r="C9" s="50"/>
      <c r="D9" s="16" t="s">
        <v>3</v>
      </c>
      <c r="E9" s="17">
        <v>0.26400000000000001</v>
      </c>
      <c r="F9" s="18">
        <v>4.5</v>
      </c>
      <c r="G9" s="19">
        <v>4</v>
      </c>
      <c r="H9" s="15">
        <v>3.73</v>
      </c>
    </row>
    <row r="10" spans="2:10" ht="15.6" x14ac:dyDescent="0.3">
      <c r="C10" s="50"/>
      <c r="D10" s="16" t="s">
        <v>4</v>
      </c>
      <c r="E10" s="17">
        <v>0.21099999999999999</v>
      </c>
      <c r="F10" s="18">
        <v>1.9</v>
      </c>
      <c r="G10" s="19">
        <v>1.6</v>
      </c>
      <c r="H10" s="15">
        <v>1.51</v>
      </c>
    </row>
    <row r="11" spans="2:10" ht="15.6" x14ac:dyDescent="0.3">
      <c r="C11" s="50"/>
      <c r="D11" s="16" t="s">
        <v>5</v>
      </c>
      <c r="E11" s="17">
        <v>0.36099999999999999</v>
      </c>
      <c r="F11" s="18">
        <v>2.2000000000000002</v>
      </c>
      <c r="G11" s="20">
        <v>2.93</v>
      </c>
      <c r="H11" s="15">
        <v>2.75</v>
      </c>
    </row>
    <row r="12" spans="2:10" ht="15.6" x14ac:dyDescent="0.3">
      <c r="C12" s="50"/>
      <c r="D12" s="16" t="s">
        <v>6</v>
      </c>
      <c r="E12" s="17">
        <v>0.20799999999999999</v>
      </c>
      <c r="F12" s="18">
        <v>1.8</v>
      </c>
      <c r="G12" s="20">
        <v>1.56</v>
      </c>
      <c r="H12" s="15">
        <v>1.49</v>
      </c>
    </row>
    <row r="13" spans="2:10" ht="15.6" x14ac:dyDescent="0.3">
      <c r="C13" s="50"/>
      <c r="D13" s="16" t="s">
        <v>7</v>
      </c>
      <c r="E13" s="17">
        <v>0.111</v>
      </c>
      <c r="F13" s="18">
        <v>0.6</v>
      </c>
      <c r="G13" s="20">
        <v>0.66</v>
      </c>
      <c r="H13" s="15">
        <v>0.62</v>
      </c>
      <c r="J13" s="1"/>
    </row>
    <row r="14" spans="2:10" ht="15.6" x14ac:dyDescent="0.3">
      <c r="C14" s="50"/>
      <c r="D14" s="16" t="s">
        <v>8</v>
      </c>
      <c r="E14" s="17">
        <v>0.14199999999999999</v>
      </c>
      <c r="F14" s="18">
        <v>6.55</v>
      </c>
      <c r="G14" s="20">
        <v>7.09</v>
      </c>
      <c r="H14" s="15">
        <v>6.41</v>
      </c>
    </row>
    <row r="15" spans="2:10" ht="15.6" x14ac:dyDescent="0.3">
      <c r="C15" s="50"/>
      <c r="D15" s="16" t="s">
        <v>9</v>
      </c>
      <c r="E15" s="17">
        <v>0.23300000000000001</v>
      </c>
      <c r="F15" s="18">
        <v>1.6</v>
      </c>
      <c r="G15" s="20">
        <v>1.63</v>
      </c>
      <c r="H15" s="15">
        <v>1.54</v>
      </c>
    </row>
    <row r="16" spans="2:10" ht="15.6" x14ac:dyDescent="0.3">
      <c r="C16" s="50"/>
      <c r="D16" s="16" t="s">
        <v>10</v>
      </c>
      <c r="E16" s="17">
        <v>0.161</v>
      </c>
      <c r="F16" s="18">
        <v>1.4</v>
      </c>
      <c r="G16" s="20">
        <v>1.05</v>
      </c>
      <c r="H16" s="21">
        <v>1</v>
      </c>
    </row>
    <row r="17" spans="3:8" ht="15.6" x14ac:dyDescent="0.3">
      <c r="C17" s="50"/>
      <c r="D17" s="22" t="s">
        <v>11</v>
      </c>
      <c r="E17" s="23">
        <v>0.157</v>
      </c>
      <c r="F17" s="24">
        <v>1.3</v>
      </c>
      <c r="G17" s="25">
        <v>1.04</v>
      </c>
      <c r="H17" s="26">
        <v>0.97</v>
      </c>
    </row>
    <row r="18" spans="3:8" ht="15.6" x14ac:dyDescent="0.3">
      <c r="C18" s="51" t="s">
        <v>39</v>
      </c>
      <c r="D18" s="11" t="s">
        <v>12</v>
      </c>
      <c r="E18" s="27">
        <v>0.45600000000000002</v>
      </c>
      <c r="F18" s="13">
        <v>1.2</v>
      </c>
      <c r="G18" s="14">
        <v>1.1399999999999999</v>
      </c>
      <c r="H18" s="28">
        <v>1.21</v>
      </c>
    </row>
    <row r="19" spans="3:8" ht="15.6" x14ac:dyDescent="0.3">
      <c r="C19" s="52"/>
      <c r="D19" s="16" t="s">
        <v>13</v>
      </c>
      <c r="E19" s="29">
        <v>0.57299999999999995</v>
      </c>
      <c r="F19" s="18">
        <v>1.4</v>
      </c>
      <c r="G19" s="20">
        <v>1.31</v>
      </c>
      <c r="H19" s="15">
        <v>1.44</v>
      </c>
    </row>
    <row r="20" spans="3:8" ht="15.6" x14ac:dyDescent="0.3">
      <c r="C20" s="52"/>
      <c r="D20" s="16" t="s">
        <v>14</v>
      </c>
      <c r="E20" s="29">
        <v>0.59699999999999998</v>
      </c>
      <c r="F20" s="18">
        <v>1.5</v>
      </c>
      <c r="G20" s="20">
        <v>1.74</v>
      </c>
      <c r="H20" s="15">
        <v>1.61</v>
      </c>
    </row>
    <row r="21" spans="3:8" ht="15.6" x14ac:dyDescent="0.3">
      <c r="C21" s="52"/>
      <c r="D21" s="16" t="s">
        <v>15</v>
      </c>
      <c r="E21" s="29">
        <v>0.52200000000000002</v>
      </c>
      <c r="F21" s="18">
        <v>1.2</v>
      </c>
      <c r="G21" s="20">
        <v>1.33</v>
      </c>
      <c r="H21" s="15">
        <v>1.39</v>
      </c>
    </row>
    <row r="22" spans="3:8" ht="15.6" x14ac:dyDescent="0.3">
      <c r="C22" s="52"/>
      <c r="D22" s="16" t="s">
        <v>16</v>
      </c>
      <c r="E22" s="29">
        <v>0.49399999999999999</v>
      </c>
      <c r="F22" s="18">
        <v>0.85</v>
      </c>
      <c r="G22" s="20">
        <v>0.76</v>
      </c>
      <c r="H22" s="15">
        <v>0.88</v>
      </c>
    </row>
    <row r="23" spans="3:8" ht="15.6" x14ac:dyDescent="0.3">
      <c r="C23" s="52"/>
      <c r="D23" s="16" t="s">
        <v>17</v>
      </c>
      <c r="E23" s="29">
        <v>0.503</v>
      </c>
      <c r="F23" s="18">
        <v>3</v>
      </c>
      <c r="G23" s="20">
        <v>3.18</v>
      </c>
      <c r="H23" s="15">
        <v>2.86</v>
      </c>
    </row>
    <row r="24" spans="3:8" ht="15.6" x14ac:dyDescent="0.3">
      <c r="C24" s="52"/>
      <c r="D24" s="16" t="s">
        <v>18</v>
      </c>
      <c r="E24" s="29">
        <v>0.41199999999999998</v>
      </c>
      <c r="F24" s="18">
        <v>1.2</v>
      </c>
      <c r="G24" s="20">
        <v>1.24</v>
      </c>
      <c r="H24" s="15">
        <v>1.1599999999999999</v>
      </c>
    </row>
    <row r="25" spans="3:8" ht="15.6" x14ac:dyDescent="0.3">
      <c r="C25" s="52"/>
      <c r="D25" s="16" t="s">
        <v>19</v>
      </c>
      <c r="E25" s="29">
        <v>0.39100000000000001</v>
      </c>
      <c r="F25" s="18">
        <v>1.3</v>
      </c>
      <c r="G25" s="20">
        <v>1.79</v>
      </c>
      <c r="H25" s="15">
        <v>1.84</v>
      </c>
    </row>
    <row r="26" spans="3:8" ht="15.6" x14ac:dyDescent="0.3">
      <c r="C26" s="52"/>
      <c r="D26" s="16" t="s">
        <v>20</v>
      </c>
      <c r="E26" s="29">
        <v>0.43</v>
      </c>
      <c r="F26" s="18">
        <v>2.5</v>
      </c>
      <c r="G26" s="19">
        <v>2</v>
      </c>
      <c r="H26" s="15">
        <v>2.27</v>
      </c>
    </row>
    <row r="27" spans="3:8" ht="15.6" x14ac:dyDescent="0.3">
      <c r="C27" s="52"/>
      <c r="D27" s="16" t="s">
        <v>21</v>
      </c>
      <c r="E27" s="29">
        <v>0.45600000000000002</v>
      </c>
      <c r="F27" s="18">
        <v>1.3</v>
      </c>
      <c r="G27" s="20">
        <v>1.62</v>
      </c>
      <c r="H27" s="15">
        <v>1.69</v>
      </c>
    </row>
    <row r="28" spans="3:8" ht="15.6" x14ac:dyDescent="0.3">
      <c r="C28" s="52"/>
      <c r="D28" s="16" t="s">
        <v>22</v>
      </c>
      <c r="E28" s="29">
        <v>0.51200000000000001</v>
      </c>
      <c r="F28" s="18">
        <v>1.5</v>
      </c>
      <c r="G28" s="20">
        <v>1.63</v>
      </c>
      <c r="H28" s="15">
        <v>1.64</v>
      </c>
    </row>
    <row r="29" spans="3:8" ht="15.6" x14ac:dyDescent="0.3">
      <c r="C29" s="52"/>
      <c r="D29" s="16" t="s">
        <v>23</v>
      </c>
      <c r="E29" s="29">
        <v>0.5</v>
      </c>
      <c r="F29" s="18">
        <v>5</v>
      </c>
      <c r="G29" s="20">
        <v>4.24</v>
      </c>
      <c r="H29" s="15">
        <v>4.71</v>
      </c>
    </row>
    <row r="30" spans="3:8" ht="15.6" x14ac:dyDescent="0.3">
      <c r="C30" s="52"/>
      <c r="D30" s="16" t="s">
        <v>24</v>
      </c>
      <c r="E30" s="29">
        <v>0.44</v>
      </c>
      <c r="F30" s="18">
        <v>1.2</v>
      </c>
      <c r="G30" s="20">
        <v>1.1399999999999999</v>
      </c>
      <c r="H30" s="15">
        <v>1.0900000000000001</v>
      </c>
    </row>
    <row r="31" spans="3:8" ht="15.6" x14ac:dyDescent="0.3">
      <c r="C31" s="52"/>
      <c r="D31" s="16" t="s">
        <v>25</v>
      </c>
      <c r="E31" s="29">
        <v>0.42299999999999999</v>
      </c>
      <c r="F31" s="18">
        <v>1.2</v>
      </c>
      <c r="G31" s="20">
        <v>1.1100000000000001</v>
      </c>
      <c r="H31" s="15">
        <v>1.1200000000000001</v>
      </c>
    </row>
    <row r="32" spans="3:8" ht="15.6" x14ac:dyDescent="0.3">
      <c r="C32" s="52"/>
      <c r="D32" s="16" t="s">
        <v>26</v>
      </c>
      <c r="E32" s="29">
        <v>0.42899999999999999</v>
      </c>
      <c r="F32" s="18">
        <v>1.3</v>
      </c>
      <c r="G32" s="20">
        <v>1.06</v>
      </c>
      <c r="H32" s="15">
        <v>1.1299999999999999</v>
      </c>
    </row>
    <row r="33" spans="3:8" ht="15.6" x14ac:dyDescent="0.3">
      <c r="C33" s="52"/>
      <c r="D33" s="16" t="s">
        <v>27</v>
      </c>
      <c r="E33" s="29">
        <v>0.46100000000000002</v>
      </c>
      <c r="F33" s="18">
        <v>1</v>
      </c>
      <c r="G33" s="19">
        <v>1.1000000000000001</v>
      </c>
      <c r="H33" s="15">
        <v>1.1399999999999999</v>
      </c>
    </row>
    <row r="34" spans="3:8" ht="15.6" x14ac:dyDescent="0.3">
      <c r="C34" s="52"/>
      <c r="D34" s="16" t="s">
        <v>28</v>
      </c>
      <c r="E34" s="29">
        <v>0.55100000000000005</v>
      </c>
      <c r="F34" s="18">
        <v>1.2</v>
      </c>
      <c r="G34" s="19">
        <v>1.4</v>
      </c>
      <c r="H34" s="15">
        <v>1.48</v>
      </c>
    </row>
    <row r="35" spans="3:8" ht="15.6" x14ac:dyDescent="0.3">
      <c r="C35" s="52"/>
      <c r="D35" s="16" t="s">
        <v>29</v>
      </c>
      <c r="E35" s="29">
        <v>0.39900000000000002</v>
      </c>
      <c r="F35" s="18">
        <v>2.5</v>
      </c>
      <c r="G35" s="20">
        <v>2.67</v>
      </c>
      <c r="H35" s="15">
        <v>2.44</v>
      </c>
    </row>
    <row r="36" spans="3:8" ht="15.6" x14ac:dyDescent="0.3">
      <c r="C36" s="52"/>
      <c r="D36" s="16" t="s">
        <v>30</v>
      </c>
      <c r="E36" s="29">
        <v>0.48499999999999999</v>
      </c>
      <c r="F36" s="18">
        <v>1.8</v>
      </c>
      <c r="G36" s="20">
        <v>1.69</v>
      </c>
      <c r="H36" s="15">
        <v>1.89</v>
      </c>
    </row>
    <row r="37" spans="3:8" ht="15.6" x14ac:dyDescent="0.3">
      <c r="C37" s="53"/>
      <c r="D37" s="22" t="s">
        <v>31</v>
      </c>
      <c r="E37" s="30">
        <v>0.38800000000000001</v>
      </c>
      <c r="F37" s="24">
        <v>1.4</v>
      </c>
      <c r="G37" s="25">
        <v>1.1399999999999999</v>
      </c>
      <c r="H37" s="26">
        <v>1.02</v>
      </c>
    </row>
    <row r="38" spans="3:8" x14ac:dyDescent="0.3">
      <c r="E38" s="3"/>
    </row>
  </sheetData>
  <mergeCells count="9">
    <mergeCell ref="E6:E7"/>
    <mergeCell ref="C2:D2"/>
    <mergeCell ref="B3:B4"/>
    <mergeCell ref="C8:C17"/>
    <mergeCell ref="C18:C37"/>
    <mergeCell ref="C3:D3"/>
    <mergeCell ref="C4:D4"/>
    <mergeCell ref="C6:C7"/>
    <mergeCell ref="D6:D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A12F-8CE9-43B7-8D79-7F03849BBA19}">
  <dimension ref="A3:N16"/>
  <sheetViews>
    <sheetView showGridLines="0" tabSelected="1" zoomScale="115" workbookViewId="0">
      <selection activeCell="E19" sqref="E19"/>
    </sheetView>
  </sheetViews>
  <sheetFormatPr baseColWidth="10" defaultRowHeight="14.4" x14ac:dyDescent="0.3"/>
  <cols>
    <col min="1" max="1" width="5.77734375" customWidth="1"/>
    <col min="2" max="2" width="9" style="2" customWidth="1"/>
    <col min="3" max="3" width="9.44140625" customWidth="1"/>
    <col min="4" max="5" width="12.33203125" customWidth="1"/>
    <col min="6" max="6" width="8.5546875" style="5" customWidth="1"/>
    <col min="7" max="7" width="11.21875" style="5" customWidth="1"/>
    <col min="8" max="8" width="5.6640625" style="2" customWidth="1"/>
    <col min="9" max="9" width="11.77734375" style="2" customWidth="1"/>
    <col min="10" max="10" width="11.44140625" style="2" customWidth="1"/>
    <col min="11" max="11" width="12.6640625" style="5" customWidth="1"/>
    <col min="12" max="12" width="5.88671875" style="2" customWidth="1"/>
    <col min="13" max="13" width="11.44140625" style="2" customWidth="1"/>
    <col min="14" max="14" width="11.5546875" style="2" customWidth="1"/>
  </cols>
  <sheetData>
    <row r="3" spans="1:14" x14ac:dyDescent="0.3">
      <c r="B3" s="37"/>
      <c r="C3" s="38"/>
      <c r="D3" s="38"/>
      <c r="E3" s="38"/>
      <c r="F3" s="54" t="s">
        <v>74</v>
      </c>
      <c r="G3" s="60" t="s">
        <v>70</v>
      </c>
      <c r="H3" s="60"/>
      <c r="I3" s="60"/>
      <c r="J3" s="60"/>
      <c r="K3" s="60"/>
      <c r="L3" s="60"/>
      <c r="M3" s="60"/>
      <c r="N3" s="60"/>
    </row>
    <row r="4" spans="1:14" x14ac:dyDescent="0.3">
      <c r="B4" s="54" t="s">
        <v>74</v>
      </c>
      <c r="C4" s="61" t="s">
        <v>57</v>
      </c>
      <c r="D4" s="61"/>
      <c r="E4" s="62"/>
      <c r="F4" s="54"/>
      <c r="G4" s="57" t="s">
        <v>71</v>
      </c>
      <c r="H4" s="58"/>
      <c r="I4" s="58"/>
      <c r="J4" s="59"/>
      <c r="K4" s="63" t="s">
        <v>59</v>
      </c>
      <c r="L4" s="64"/>
      <c r="M4" s="64"/>
      <c r="N4" s="65"/>
    </row>
    <row r="5" spans="1:14" x14ac:dyDescent="0.3">
      <c r="A5" s="9"/>
      <c r="B5" s="54"/>
      <c r="C5" s="39" t="s">
        <v>44</v>
      </c>
      <c r="D5" s="39" t="s">
        <v>45</v>
      </c>
      <c r="E5" s="40" t="s">
        <v>46</v>
      </c>
      <c r="F5" s="54"/>
      <c r="G5" s="39" t="s">
        <v>58</v>
      </c>
      <c r="H5" s="41" t="s">
        <v>72</v>
      </c>
      <c r="I5" s="41" t="s">
        <v>45</v>
      </c>
      <c r="J5" s="41" t="s">
        <v>46</v>
      </c>
      <c r="K5" s="39" t="s">
        <v>58</v>
      </c>
      <c r="L5" s="41" t="s">
        <v>73</v>
      </c>
      <c r="M5" s="41" t="s">
        <v>45</v>
      </c>
      <c r="N5" s="41" t="s">
        <v>46</v>
      </c>
    </row>
    <row r="6" spans="1:14" x14ac:dyDescent="0.3">
      <c r="B6" s="42" t="s">
        <v>43</v>
      </c>
      <c r="C6" s="43">
        <v>10</v>
      </c>
      <c r="D6" s="43">
        <v>0</v>
      </c>
      <c r="E6" s="43">
        <v>10</v>
      </c>
      <c r="F6" s="44" t="s">
        <v>43</v>
      </c>
      <c r="G6" s="44" t="s">
        <v>60</v>
      </c>
      <c r="H6" s="42">
        <v>10</v>
      </c>
      <c r="I6" s="42">
        <v>10</v>
      </c>
      <c r="J6" s="42">
        <v>0</v>
      </c>
      <c r="K6" s="44" t="s">
        <v>61</v>
      </c>
      <c r="L6" s="42">
        <v>10</v>
      </c>
      <c r="M6" s="42">
        <v>0</v>
      </c>
      <c r="N6" s="42">
        <v>10</v>
      </c>
    </row>
    <row r="7" spans="1:14" x14ac:dyDescent="0.3">
      <c r="B7" s="42" t="s">
        <v>47</v>
      </c>
      <c r="C7" s="43">
        <v>12</v>
      </c>
      <c r="D7" s="43">
        <v>0</v>
      </c>
      <c r="E7" s="43">
        <v>12</v>
      </c>
      <c r="F7" s="44" t="s">
        <v>47</v>
      </c>
      <c r="G7" s="44" t="s">
        <v>60</v>
      </c>
      <c r="H7" s="42">
        <v>12</v>
      </c>
      <c r="I7" s="42">
        <v>12</v>
      </c>
      <c r="J7" s="42">
        <v>0</v>
      </c>
      <c r="K7" s="44" t="s">
        <v>61</v>
      </c>
      <c r="L7" s="42">
        <v>12</v>
      </c>
      <c r="M7" s="42">
        <v>0</v>
      </c>
      <c r="N7" s="42">
        <v>12</v>
      </c>
    </row>
    <row r="8" spans="1:14" x14ac:dyDescent="0.3">
      <c r="B8" s="42" t="s">
        <v>48</v>
      </c>
      <c r="C8" s="43">
        <v>8</v>
      </c>
      <c r="D8" s="43">
        <v>2</v>
      </c>
      <c r="E8" s="43">
        <v>6</v>
      </c>
      <c r="F8" s="44" t="s">
        <v>48</v>
      </c>
      <c r="G8" s="44" t="s">
        <v>60</v>
      </c>
      <c r="H8" s="42">
        <v>8</v>
      </c>
      <c r="I8" s="42">
        <v>8</v>
      </c>
      <c r="J8" s="42">
        <v>0</v>
      </c>
      <c r="K8" s="44" t="s">
        <v>62</v>
      </c>
      <c r="L8" s="42">
        <v>8</v>
      </c>
      <c r="M8" s="42">
        <v>2</v>
      </c>
      <c r="N8" s="42">
        <v>6</v>
      </c>
    </row>
    <row r="9" spans="1:14" x14ac:dyDescent="0.3">
      <c r="A9" s="8"/>
      <c r="B9" s="42" t="s">
        <v>49</v>
      </c>
      <c r="C9" s="43">
        <v>12</v>
      </c>
      <c r="D9" s="43">
        <v>0</v>
      </c>
      <c r="E9" s="43">
        <v>12</v>
      </c>
      <c r="F9" s="44" t="s">
        <v>49</v>
      </c>
      <c r="G9" s="44" t="s">
        <v>60</v>
      </c>
      <c r="H9" s="42">
        <v>12</v>
      </c>
      <c r="I9" s="42">
        <v>12</v>
      </c>
      <c r="J9" s="42">
        <v>0</v>
      </c>
      <c r="K9" s="44" t="s">
        <v>63</v>
      </c>
      <c r="L9" s="42">
        <v>12</v>
      </c>
      <c r="M9" s="42">
        <v>0</v>
      </c>
      <c r="N9" s="42">
        <v>12</v>
      </c>
    </row>
    <row r="10" spans="1:14" x14ac:dyDescent="0.3">
      <c r="A10" s="8"/>
      <c r="B10" s="42" t="s">
        <v>50</v>
      </c>
      <c r="C10" s="43">
        <v>14</v>
      </c>
      <c r="D10" s="43">
        <v>10</v>
      </c>
      <c r="E10" s="43">
        <v>4</v>
      </c>
      <c r="F10" s="44" t="s">
        <v>50</v>
      </c>
      <c r="G10" s="44" t="s">
        <v>60</v>
      </c>
      <c r="H10" s="42">
        <v>14</v>
      </c>
      <c r="I10" s="42">
        <v>13</v>
      </c>
      <c r="J10" s="42">
        <v>1</v>
      </c>
      <c r="K10" s="44" t="s">
        <v>61</v>
      </c>
      <c r="L10" s="42">
        <v>14</v>
      </c>
      <c r="M10" s="42">
        <v>10</v>
      </c>
      <c r="N10" s="42">
        <v>4</v>
      </c>
    </row>
    <row r="11" spans="1:14" x14ac:dyDescent="0.3">
      <c r="A11" s="8"/>
      <c r="B11" s="42" t="s">
        <v>51</v>
      </c>
      <c r="C11" s="43">
        <v>12</v>
      </c>
      <c r="D11" s="43">
        <v>6</v>
      </c>
      <c r="E11" s="43">
        <v>6</v>
      </c>
      <c r="F11" s="44" t="s">
        <v>51</v>
      </c>
      <c r="G11" s="44" t="s">
        <v>60</v>
      </c>
      <c r="H11" s="42">
        <v>12</v>
      </c>
      <c r="I11" s="42">
        <v>12</v>
      </c>
      <c r="J11" s="42">
        <v>0</v>
      </c>
      <c r="K11" s="44" t="s">
        <v>64</v>
      </c>
      <c r="L11" s="42">
        <v>12</v>
      </c>
      <c r="M11" s="42">
        <v>6</v>
      </c>
      <c r="N11" s="42">
        <v>6</v>
      </c>
    </row>
    <row r="12" spans="1:14" x14ac:dyDescent="0.3">
      <c r="B12" s="42" t="s">
        <v>52</v>
      </c>
      <c r="C12" s="43">
        <v>3</v>
      </c>
      <c r="D12" s="43">
        <v>0</v>
      </c>
      <c r="E12" s="43">
        <v>3</v>
      </c>
      <c r="F12" s="44" t="s">
        <v>52</v>
      </c>
      <c r="G12" s="44" t="s">
        <v>60</v>
      </c>
      <c r="H12" s="42">
        <v>3</v>
      </c>
      <c r="I12" s="42">
        <v>3</v>
      </c>
      <c r="J12" s="42">
        <v>0</v>
      </c>
      <c r="K12" s="44" t="s">
        <v>65</v>
      </c>
      <c r="L12" s="42">
        <v>3</v>
      </c>
      <c r="M12" s="42">
        <v>0</v>
      </c>
      <c r="N12" s="42">
        <v>3</v>
      </c>
    </row>
    <row r="13" spans="1:14" x14ac:dyDescent="0.3">
      <c r="B13" s="42" t="s">
        <v>53</v>
      </c>
      <c r="C13" s="43">
        <v>18</v>
      </c>
      <c r="D13" s="43">
        <v>0</v>
      </c>
      <c r="E13" s="43">
        <v>18</v>
      </c>
      <c r="F13" s="44" t="s">
        <v>53</v>
      </c>
      <c r="G13" s="44" t="s">
        <v>60</v>
      </c>
      <c r="H13" s="42">
        <v>18</v>
      </c>
      <c r="I13" s="42">
        <v>18</v>
      </c>
      <c r="J13" s="42">
        <v>0</v>
      </c>
      <c r="K13" s="44" t="s">
        <v>66</v>
      </c>
      <c r="L13" s="42">
        <v>18</v>
      </c>
      <c r="M13" s="42">
        <v>0</v>
      </c>
      <c r="N13" s="42">
        <v>18</v>
      </c>
    </row>
    <row r="14" spans="1:14" x14ac:dyDescent="0.3">
      <c r="B14" s="42" t="s">
        <v>54</v>
      </c>
      <c r="C14" s="43">
        <v>7</v>
      </c>
      <c r="D14" s="43">
        <v>0</v>
      </c>
      <c r="E14" s="43">
        <v>7</v>
      </c>
      <c r="F14" s="44" t="s">
        <v>54</v>
      </c>
      <c r="G14" s="44" t="s">
        <v>60</v>
      </c>
      <c r="H14" s="42">
        <v>7</v>
      </c>
      <c r="I14" s="42">
        <v>6</v>
      </c>
      <c r="J14" s="42">
        <v>1</v>
      </c>
      <c r="K14" s="44" t="s">
        <v>67</v>
      </c>
      <c r="L14" s="42">
        <v>7</v>
      </c>
      <c r="M14" s="42">
        <v>0</v>
      </c>
      <c r="N14" s="42">
        <v>7</v>
      </c>
    </row>
    <row r="15" spans="1:14" x14ac:dyDescent="0.3">
      <c r="B15" s="42" t="s">
        <v>55</v>
      </c>
      <c r="C15" s="43">
        <v>6</v>
      </c>
      <c r="D15" s="43">
        <v>4</v>
      </c>
      <c r="E15" s="43">
        <v>2</v>
      </c>
      <c r="F15" s="44" t="s">
        <v>55</v>
      </c>
      <c r="G15" s="44" t="s">
        <v>60</v>
      </c>
      <c r="H15" s="42">
        <v>6</v>
      </c>
      <c r="I15" s="42">
        <v>6</v>
      </c>
      <c r="J15" s="42">
        <v>0</v>
      </c>
      <c r="K15" s="44" t="s">
        <v>68</v>
      </c>
      <c r="L15" s="42">
        <v>6</v>
      </c>
      <c r="M15" s="42">
        <v>4</v>
      </c>
      <c r="N15" s="42">
        <v>2</v>
      </c>
    </row>
    <row r="16" spans="1:14" x14ac:dyDescent="0.3">
      <c r="B16" s="41" t="s">
        <v>56</v>
      </c>
      <c r="C16" s="45">
        <f>SUM(C6:C15)</f>
        <v>102</v>
      </c>
      <c r="D16" s="45">
        <f>SUM(D6:D15)</f>
        <v>22</v>
      </c>
      <c r="E16" s="45">
        <f>SUM(E6:E15)</f>
        <v>80</v>
      </c>
      <c r="F16" s="55" t="s">
        <v>56</v>
      </c>
      <c r="G16" s="56"/>
      <c r="H16" s="41">
        <f>SUM(H6:H15)</f>
        <v>102</v>
      </c>
      <c r="I16" s="41">
        <f>SUM(I6:I15)</f>
        <v>100</v>
      </c>
      <c r="J16" s="41">
        <f>SUM(J6:J15)</f>
        <v>2</v>
      </c>
      <c r="K16" s="39" t="s">
        <v>56</v>
      </c>
      <c r="L16" s="41">
        <f>SUM(L6:L15)</f>
        <v>102</v>
      </c>
      <c r="M16" s="41">
        <f>SUM(M6:M15)</f>
        <v>22</v>
      </c>
      <c r="N16" s="41">
        <f>SUM(N6:N15)</f>
        <v>80</v>
      </c>
    </row>
  </sheetData>
  <mergeCells count="7">
    <mergeCell ref="F3:F5"/>
    <mergeCell ref="F16:G16"/>
    <mergeCell ref="B4:B5"/>
    <mergeCell ref="G4:J4"/>
    <mergeCell ref="G3:N3"/>
    <mergeCell ref="C4:E4"/>
    <mergeCell ref="K4:N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Funcion Escala</vt:lpstr>
      <vt:lpstr>Resultados Grietas</vt:lpstr>
      <vt:lpstr>Resultados Ladrillos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u20251a633 (Heredia Nolberto, Sergio Daniel)</dc:creator>
  <cp:lastModifiedBy>Roger kevin Rodriguez Nolberto</cp:lastModifiedBy>
  <dcterms:created xsi:type="dcterms:W3CDTF">2026-05-25T14:23:31Z</dcterms:created>
  <dcterms:modified xsi:type="dcterms:W3CDTF">2026-08-19T01:53:15Z</dcterms:modified>
</cp:coreProperties>
</file>